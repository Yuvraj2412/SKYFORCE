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<sst xmlns="http://schemas.openxmlformats.org/spreadsheetml/2006/main" count="120" uniqueCount="82">
  <si>
    <t xml:space="preserve">Category</t>
  </si>
  <si>
    <t xml:space="preserve">Item</t>
  </si>
  <si>
    <t xml:space="preserve">Specification / Model</t>
  </si>
  <si>
    <t xml:space="preserve">Qty</t>
  </si>
  <si>
    <t xml:space="preserve">Unit</t>
  </si>
  <si>
    <t xml:space="preserve">Unit Price (INR)</t>
  </si>
  <si>
    <t xml:space="preserve">Total (INR)</t>
  </si>
  <si>
    <t xml:space="preserve">Basis</t>
  </si>
  <si>
    <t xml:space="preserve">Source</t>
  </si>
  <si>
    <t xml:space="preserve">Propulsion</t>
  </si>
  <si>
    <t xml:space="preserve">Brushless motor</t>
  </si>
  <si>
    <t xml:space="preserve">T-Motor U8 Lite KV100 (nearest sourced equivalent: T-Motor U8II KV100, 272 g, 12S, 27-28 in prop)</t>
  </si>
  <si>
    <t xml:space="preserve">pcs</t>
  </si>
  <si>
    <t xml:space="preserve">Sourced</t>
  </si>
  <si>
    <t xml:space="preserve">Robu.in, T Motor U8II KV100, incl. GST, https://st.robu.in/product/t-motor-u8ii-kv100 (10 Oct 2026)</t>
  </si>
  <si>
    <t xml:space="preserve">Propeller</t>
  </si>
  <si>
    <t xml:space="preserve">T-Motor G28x9.2 CF, 28 in (sold 2 pcs/pair; 3 pairs = 6 propellers for 6 motors)</t>
  </si>
  <si>
    <t xml:space="preserve">pair</t>
  </si>
  <si>
    <t xml:space="preserve">Robu.in, T Motor G28*9.2 Prop-2PCS/PAIR, incl. GST, https://stg.robu.in/?p=1402980 (10 Oct 2026)</t>
  </si>
  <si>
    <t xml:space="preserve">ESC</t>
  </si>
  <si>
    <t xml:space="preserve">12S 80A (nearest sourced equivalent to the specified Alpha 60A 12S: T-Motor Flame 80A 12S V2.0)</t>
  </si>
  <si>
    <t xml:space="preserve">Sourced (substitute part)</t>
  </si>
  <si>
    <t xml:space="preserve">Robu.in, T-Motor Flame 80A 12S V2.0 ESC, incl. GST (10 Oct 2026)</t>
  </si>
  <si>
    <t xml:space="preserve">Power</t>
  </si>
  <si>
    <t xml:space="preserve">Battery</t>
  </si>
  <si>
    <t xml:space="preserve">12S 8000 mAh LiPo, ~355 Wh nominal at this capacity class</t>
  </si>
  <si>
    <t xml:space="preserve">Estimated</t>
  </si>
  <si>
    <t xml:space="preserve">Scaled from Robu.in Tattu Pro LiHV 16000 mAh 12S1P pack at Rs 53,382 incl. GST, linearly by capacity (16Ah to 8Ah); get an exact quote for the 8 Ah size</t>
  </si>
  <si>
    <t xml:space="preserve">Power distribution board, wiring, connectors</t>
  </si>
  <si>
    <t xml:space="preserve">PDB, XT90 main connector, bullet connectors, silicone wire</t>
  </si>
  <si>
    <t xml:space="preserve">set</t>
  </si>
  <si>
    <t xml:space="preserve">Typical component-level cost for this class of build; no single-SKU listing</t>
  </si>
  <si>
    <t xml:space="preserve">Avionics</t>
  </si>
  <si>
    <t xml:space="preserve">Flight controller</t>
  </si>
  <si>
    <t xml:space="preserve">Cube Orange+ Standard Set (includes GPS/compass, ADS-B carrier board)</t>
  </si>
  <si>
    <t xml:space="preserve">xboom.in, HEX Pixhawk Cube Orange+ Autopilot With ADSB Flight, sale price (10 Oct 2026)</t>
  </si>
  <si>
    <t xml:space="preserve">Companion computer</t>
  </si>
  <si>
    <t xml:space="preserve">NVIDIA Jetson Orin Nano (developer/deployment kit class, 4-8 GB)</t>
  </si>
  <si>
    <t xml:space="preserve">India price for this class reported at roughly Rs 30,000-50,000 across multiple retailers (Think Robotics, Zbotic); no single confirmed listing</t>
  </si>
  <si>
    <t xml:space="preserve">Camera and gimbal</t>
  </si>
  <si>
    <t xml:space="preserve">Skydroid C12 3-axis stabilized gimbal camera</t>
  </si>
  <si>
    <t xml:space="preserve">Zbotic.in, Skydroid C12 Three-Axis Stabilized Gimbal Camera (10 Oct 2026)</t>
  </si>
  <si>
    <t xml:space="preserve">Long-range telemetry radio (air side)</t>
  </si>
  <si>
    <t xml:space="preserve">RFD900x-class 915 MHz, ~1 W, long-range MAVLink radio</t>
  </si>
  <si>
    <t xml:space="preserve">Converted from RFDesign RFD900x international listing (~$496), plus import cost allowance; no direct India retail price found</t>
  </si>
  <si>
    <t xml:space="preserve">Structure</t>
  </si>
  <si>
    <t xml:space="preserve">Carbon fiber arm tube</t>
  </si>
  <si>
    <t xml:space="preserve">35 mm OD x 2 mm wall CF tube, 0.8 m x 6 arms = 4.8 m total</t>
  </si>
  <si>
    <t xml:space="preserve">m</t>
  </si>
  <si>
    <t xml:space="preserve">Typical per-metre price for this tube class from Indian CF stockists; get an exact quote</t>
  </si>
  <si>
    <t xml:space="preserve">Frame plates, standoffs, fasteners</t>
  </si>
  <si>
    <t xml:space="preserve">Central CF/aluminium plates and hardware, custom-cut for this layout</t>
  </si>
  <si>
    <t xml:space="preserve">Fabrication estimate; no single-SKU listing, scratch-built frame</t>
  </si>
  <si>
    <t xml:space="preserve">Landing gear</t>
  </si>
  <si>
    <t xml:space="preserve">Fixed CF legs</t>
  </si>
  <si>
    <t xml:space="preserve">Fabrication estimate; no single-SKU listing</t>
  </si>
  <si>
    <t xml:space="preserve">Capture payload</t>
  </si>
  <si>
    <t xml:space="preserve">Net launcher frame and firing mechanism</t>
  </si>
  <si>
    <t xml:space="preserve">CO2-actuated launcher, 4 m net opening, 5-15 m design-target firing range</t>
  </si>
  <si>
    <t xml:space="preserve">Fabrication estimate for a custom net launcher; no off-the-shelf SKU for this exact design</t>
  </si>
  <si>
    <t xml:space="preserve">Net and tether</t>
  </si>
  <si>
    <t xml:space="preserve">Nylon/Dyneema mesh, 4 m opening (sizing document, Section 10)</t>
  </si>
  <si>
    <t xml:space="preserve">Material and fabrication estimate</t>
  </si>
  <si>
    <t xml:space="preserve">CO2 propellant cartridge</t>
  </si>
  <si>
    <t xml:space="preserve">12-16 g paintball-style cartridge and holder (consumable)</t>
  </si>
  <si>
    <t xml:space="preserve">Typical market price for a paintball-class CO2 cartridge</t>
  </si>
  <si>
    <t xml:space="preserve">Parachute and release mechanism</t>
  </si>
  <si>
    <t xml:space="preserve">2.5 m canopy (sizing document, Section 7), servo-actuated release</t>
  </si>
  <si>
    <t xml:space="preserve">Material and fabrication estimate for a custom recovery parachute</t>
  </si>
  <si>
    <t xml:space="preserve">Miscellaneous</t>
  </si>
  <si>
    <t xml:space="preserve">Fasteners, heat-shrink, 3D-printed mounts, foam</t>
  </si>
  <si>
    <t xml:space="preserve">General build consumables and mounting hardware</t>
  </si>
  <si>
    <t xml:space="preserve">Typical allowance for a build of this scale</t>
  </si>
  <si>
    <t xml:space="preserve">TOTAL (one drone, no spares)</t>
  </si>
  <si>
    <t xml:space="preserve">Notes</t>
  </si>
  <si>
    <t xml:space="preserve">- Currency: INR. Quantities are for one drone only (no spares or contingency), per the user's instructions.</t>
  </si>
  <si>
    <t xml:space="preserve">- Yellow-shaded rows (Unit Price, Total, Basis columns) are estimates, not a specific vendor listing — get a real quote before purchase.</t>
  </si>
  <si>
    <t xml:space="preserve">- White rows are sourced from a specific Indian retailer listing, checked via web search on 10 Oct 2026; prices may have changed since and should be re-verified before ordering.</t>
  </si>
  <si>
    <t xml:space="preserve">- The ESC and companion computer rows use the nearest sourced equivalent to the exact part named in the sizing document (Alpha 60A 12S, Jetson Orin Nano variant); confirm the exact variant before purchase.</t>
  </si>
  <si>
    <t xml:space="preserve">- This BOM excludes the ground segment (ground radar, GCS laptop, ground radio) and ground-control software, per the request to bill the drone itself.</t>
  </si>
  <si>
    <t xml:space="preserve">- No manual RC safety-pilot override is included — the drone relies solely on the long-range ground-radio link (team decision, 10 Oct 2026). The independent RC backup link suggested in the architecture document was considered and intentionally dropped.</t>
  </si>
  <si>
    <t xml:space="preserve">- This BOM excludes shipping, customs/import duty on items not already marked GST-inclusive, and any competition entry or venue costs.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</si>
</sst>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s &quot;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B3A4A"/>
        <bgColor rgb="FF333300"/>
      </patternFill>
    </fill>
    <fill>
      <patternFill patternType="solid">
        <fgColor rgb="FFFFF2CC"/>
        <bgColor rgb="FFFFFFFF"/>
      </patternFill>
    </fill>
    <fill>
      <patternFill patternType="solid">
        <fgColor rgb="FFD9E1E8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3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7" min="6" style="0" width="16"/>
    <col collapsed="false" customWidth="true" hidden="false" outlineLevel="0" max="8" min="8" style="0" width="12"/>
    <col collapsed="false" customWidth="true" hidden="false" outlineLevel="0" max="9" min="9" style="0" width="4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30" hidden="false" customHeight="true" outlineLevel="0" collapsed="false">
      <c r="A2" s="2" t="s">
        <v>9</v>
      </c>
      <c r="B2" s="2" t="s">
        <v>10</v>
      </c>
      <c r="C2" s="3" t="s">
        <v>11</v>
      </c>
      <c r="D2" s="2" t="n">
        <v>6</v>
      </c>
      <c r="E2" s="2" t="s">
        <v>12</v>
      </c>
      <c r="F2" s="4" t="n">
        <v>33588</v>
      </c>
      <c r="G2" s="4" t="n">
        <f aca="false">D2*F2</f>
        <v>201528</v>
      </c>
      <c r="H2" s="2" t="s">
        <v>13</v>
      </c>
      <c r="I2" s="3" t="s">
        <v>14</v>
      </c>
    </row>
    <row r="3" customFormat="false" ht="30" hidden="false" customHeight="true" outlineLevel="0" collapsed="false">
      <c r="A3" s="2" t="s">
        <v>9</v>
      </c>
      <c r="B3" s="2" t="s">
        <v>15</v>
      </c>
      <c r="C3" s="3" t="s">
        <v>16</v>
      </c>
      <c r="D3" s="2" t="n">
        <v>3</v>
      </c>
      <c r="E3" s="2" t="s">
        <v>17</v>
      </c>
      <c r="F3" s="4" t="n">
        <v>31004</v>
      </c>
      <c r="G3" s="4" t="n">
        <f aca="false">D3*F3</f>
        <v>93012</v>
      </c>
      <c r="H3" s="2" t="s">
        <v>13</v>
      </c>
      <c r="I3" s="3" t="s">
        <v>18</v>
      </c>
    </row>
    <row r="4" customFormat="false" ht="30" hidden="false" customHeight="true" outlineLevel="0" collapsed="false">
      <c r="A4" s="2" t="s">
        <v>9</v>
      </c>
      <c r="B4" s="2" t="s">
        <v>19</v>
      </c>
      <c r="C4" s="3" t="s">
        <v>20</v>
      </c>
      <c r="D4" s="2" t="n">
        <v>6</v>
      </c>
      <c r="E4" s="2" t="s">
        <v>12</v>
      </c>
      <c r="F4" s="4" t="n">
        <v>11195</v>
      </c>
      <c r="G4" s="4" t="n">
        <f aca="false">D4*F4</f>
        <v>67170</v>
      </c>
      <c r="H4" s="2" t="s">
        <v>21</v>
      </c>
      <c r="I4" s="3" t="s">
        <v>22</v>
      </c>
    </row>
    <row r="5" customFormat="false" ht="30" hidden="false" customHeight="true" outlineLevel="0" collapsed="false">
      <c r="A5" s="2" t="s">
        <v>23</v>
      </c>
      <c r="B5" s="2" t="s">
        <v>24</v>
      </c>
      <c r="C5" s="3" t="s">
        <v>25</v>
      </c>
      <c r="D5" s="2" t="n">
        <v>1</v>
      </c>
      <c r="E5" s="2" t="s">
        <v>12</v>
      </c>
      <c r="F5" s="5" t="n">
        <v>27000</v>
      </c>
      <c r="G5" s="5" t="n">
        <f aca="false">D5*F5</f>
        <v>27000</v>
      </c>
      <c r="H5" s="6" t="s">
        <v>26</v>
      </c>
      <c r="I5" s="3" t="s">
        <v>27</v>
      </c>
    </row>
    <row r="6" customFormat="false" ht="30" hidden="false" customHeight="true" outlineLevel="0" collapsed="false">
      <c r="A6" s="2" t="s">
        <v>23</v>
      </c>
      <c r="B6" s="2" t="s">
        <v>28</v>
      </c>
      <c r="C6" s="3" t="s">
        <v>29</v>
      </c>
      <c r="D6" s="2" t="n">
        <v>1</v>
      </c>
      <c r="E6" s="2" t="s">
        <v>30</v>
      </c>
      <c r="F6" s="5" t="n">
        <v>3500</v>
      </c>
      <c r="G6" s="5" t="n">
        <f aca="false">D6*F6</f>
        <v>3500</v>
      </c>
      <c r="H6" s="6" t="s">
        <v>26</v>
      </c>
      <c r="I6" s="3" t="s">
        <v>31</v>
      </c>
    </row>
    <row r="7" customFormat="false" ht="30" hidden="false" customHeight="true" outlineLevel="0" collapsed="false">
      <c r="A7" s="2" t="s">
        <v>32</v>
      </c>
      <c r="B7" s="2" t="s">
        <v>33</v>
      </c>
      <c r="C7" s="3" t="s">
        <v>34</v>
      </c>
      <c r="D7" s="2" t="n">
        <v>1</v>
      </c>
      <c r="E7" s="2" t="s">
        <v>12</v>
      </c>
      <c r="F7" s="4" t="n">
        <v>34999</v>
      </c>
      <c r="G7" s="4" t="n">
        <f aca="false">D7*F7</f>
        <v>34999</v>
      </c>
      <c r="H7" s="2" t="s">
        <v>13</v>
      </c>
      <c r="I7" s="3" t="s">
        <v>35</v>
      </c>
    </row>
    <row r="8" customFormat="false" ht="30" hidden="false" customHeight="true" outlineLevel="0" collapsed="false">
      <c r="A8" s="2" t="s">
        <v>32</v>
      </c>
      <c r="B8" s="2" t="s">
        <v>36</v>
      </c>
      <c r="C8" s="3" t="s">
        <v>37</v>
      </c>
      <c r="D8" s="2" t="n">
        <v>1</v>
      </c>
      <c r="E8" s="2" t="s">
        <v>12</v>
      </c>
      <c r="F8" s="5" t="n">
        <v>42000</v>
      </c>
      <c r="G8" s="5" t="n">
        <f aca="false">D8*F8</f>
        <v>42000</v>
      </c>
      <c r="H8" s="6" t="s">
        <v>26</v>
      </c>
      <c r="I8" s="3" t="s">
        <v>38</v>
      </c>
    </row>
    <row r="9" customFormat="false" ht="30" hidden="false" customHeight="true" outlineLevel="0" collapsed="false">
      <c r="A9" s="2" t="s">
        <v>32</v>
      </c>
      <c r="B9" s="2" t="s">
        <v>39</v>
      </c>
      <c r="C9" s="3" t="s">
        <v>40</v>
      </c>
      <c r="D9" s="2" t="n">
        <v>1</v>
      </c>
      <c r="E9" s="2" t="s">
        <v>12</v>
      </c>
      <c r="F9" s="4" t="n">
        <v>53728</v>
      </c>
      <c r="G9" s="4" t="n">
        <f aca="false">D9*F9</f>
        <v>53728</v>
      </c>
      <c r="H9" s="2" t="s">
        <v>13</v>
      </c>
      <c r="I9" s="3" t="s">
        <v>41</v>
      </c>
    </row>
    <row r="10" customFormat="false" ht="30" hidden="false" customHeight="true" outlineLevel="0" collapsed="false">
      <c r="A10" s="2" t="s">
        <v>32</v>
      </c>
      <c r="B10" s="2" t="s">
        <v>42</v>
      </c>
      <c r="C10" s="3" t="s">
        <v>43</v>
      </c>
      <c r="D10" s="2" t="n">
        <v>1</v>
      </c>
      <c r="E10" s="2" t="s">
        <v>12</v>
      </c>
      <c r="F10" s="5" t="n">
        <v>42000</v>
      </c>
      <c r="G10" s="5" t="n">
        <f aca="false">D10*F10</f>
        <v>42000</v>
      </c>
      <c r="H10" s="6" t="s">
        <v>26</v>
      </c>
      <c r="I10" s="3" t="s">
        <v>44</v>
      </c>
    </row>
    <row r="11" customFormat="false" ht="30" hidden="false" customHeight="true" outlineLevel="0" collapsed="false">
      <c r="A11" s="2" t="s">
        <v>45</v>
      </c>
      <c r="B11" s="2" t="s">
        <v>46</v>
      </c>
      <c r="C11" s="3" t="s">
        <v>47</v>
      </c>
      <c r="D11" s="2" t="n">
        <v>4.8</v>
      </c>
      <c r="E11" s="2" t="s">
        <v>48</v>
      </c>
      <c r="F11" s="5" t="n">
        <v>1000</v>
      </c>
      <c r="G11" s="5" t="n">
        <f aca="false">D11*F11</f>
        <v>4800</v>
      </c>
      <c r="H11" s="6" t="s">
        <v>26</v>
      </c>
      <c r="I11" s="3" t="s">
        <v>49</v>
      </c>
    </row>
    <row r="12" customFormat="false" ht="30" hidden="false" customHeight="true" outlineLevel="0" collapsed="false">
      <c r="A12" s="2" t="s">
        <v>45</v>
      </c>
      <c r="B12" s="2" t="s">
        <v>50</v>
      </c>
      <c r="C12" s="3" t="s">
        <v>51</v>
      </c>
      <c r="D12" s="2" t="n">
        <v>1</v>
      </c>
      <c r="E12" s="2" t="s">
        <v>30</v>
      </c>
      <c r="F12" s="5" t="n">
        <v>6000</v>
      </c>
      <c r="G12" s="5" t="n">
        <f aca="false">D12*F12</f>
        <v>6000</v>
      </c>
      <c r="H12" s="6" t="s">
        <v>26</v>
      </c>
      <c r="I12" s="3" t="s">
        <v>52</v>
      </c>
    </row>
    <row r="13" customFormat="false" ht="30" hidden="false" customHeight="true" outlineLevel="0" collapsed="false">
      <c r="A13" s="2" t="s">
        <v>45</v>
      </c>
      <c r="B13" s="2" t="s">
        <v>53</v>
      </c>
      <c r="C13" s="3" t="s">
        <v>54</v>
      </c>
      <c r="D13" s="2" t="n">
        <v>1</v>
      </c>
      <c r="E13" s="2" t="s">
        <v>30</v>
      </c>
      <c r="F13" s="5" t="n">
        <v>3500</v>
      </c>
      <c r="G13" s="5" t="n">
        <f aca="false">D13*F13</f>
        <v>3500</v>
      </c>
      <c r="H13" s="6" t="s">
        <v>26</v>
      </c>
      <c r="I13" s="3" t="s">
        <v>55</v>
      </c>
    </row>
    <row r="14" customFormat="false" ht="30" hidden="false" customHeight="true" outlineLevel="0" collapsed="false">
      <c r="A14" s="2" t="s">
        <v>56</v>
      </c>
      <c r="B14" s="2" t="s">
        <v>57</v>
      </c>
      <c r="C14" s="3" t="s">
        <v>58</v>
      </c>
      <c r="D14" s="2" t="n">
        <v>1</v>
      </c>
      <c r="E14" s="2" t="s">
        <v>12</v>
      </c>
      <c r="F14" s="5" t="n">
        <v>8000</v>
      </c>
      <c r="G14" s="5" t="n">
        <f aca="false">D14*F14</f>
        <v>8000</v>
      </c>
      <c r="H14" s="6" t="s">
        <v>26</v>
      </c>
      <c r="I14" s="3" t="s">
        <v>59</v>
      </c>
    </row>
    <row r="15" customFormat="false" ht="30" hidden="false" customHeight="true" outlineLevel="0" collapsed="false">
      <c r="A15" s="2" t="s">
        <v>56</v>
      </c>
      <c r="B15" s="2" t="s">
        <v>60</v>
      </c>
      <c r="C15" s="3" t="s">
        <v>61</v>
      </c>
      <c r="D15" s="2" t="n">
        <v>1</v>
      </c>
      <c r="E15" s="2" t="s">
        <v>12</v>
      </c>
      <c r="F15" s="5" t="n">
        <v>3000</v>
      </c>
      <c r="G15" s="5" t="n">
        <f aca="false">D15*F15</f>
        <v>3000</v>
      </c>
      <c r="H15" s="6" t="s">
        <v>26</v>
      </c>
      <c r="I15" s="3" t="s">
        <v>62</v>
      </c>
    </row>
    <row r="16" customFormat="false" ht="30" hidden="false" customHeight="true" outlineLevel="0" collapsed="false">
      <c r="A16" s="2" t="s">
        <v>56</v>
      </c>
      <c r="B16" s="2" t="s">
        <v>63</v>
      </c>
      <c r="C16" s="3" t="s">
        <v>64</v>
      </c>
      <c r="D16" s="2" t="n">
        <v>1</v>
      </c>
      <c r="E16" s="2" t="s">
        <v>12</v>
      </c>
      <c r="F16" s="5" t="n">
        <v>300</v>
      </c>
      <c r="G16" s="5" t="n">
        <f aca="false">D16*F16</f>
        <v>300</v>
      </c>
      <c r="H16" s="6" t="s">
        <v>26</v>
      </c>
      <c r="I16" s="3" t="s">
        <v>65</v>
      </c>
    </row>
    <row r="17" customFormat="false" ht="30" hidden="false" customHeight="true" outlineLevel="0" collapsed="false">
      <c r="A17" s="2" t="s">
        <v>56</v>
      </c>
      <c r="B17" s="2" t="s">
        <v>66</v>
      </c>
      <c r="C17" s="3" t="s">
        <v>67</v>
      </c>
      <c r="D17" s="2" t="n">
        <v>1</v>
      </c>
      <c r="E17" s="2" t="s">
        <v>12</v>
      </c>
      <c r="F17" s="5" t="n">
        <v>4500</v>
      </c>
      <c r="G17" s="5" t="n">
        <f aca="false">D17*F17</f>
        <v>4500</v>
      </c>
      <c r="H17" s="6" t="s">
        <v>26</v>
      </c>
      <c r="I17" s="3" t="s">
        <v>68</v>
      </c>
    </row>
    <row r="18" customFormat="false" ht="30" hidden="false" customHeight="true" outlineLevel="0" collapsed="false">
      <c r="A18" s="2" t="s">
        <v>69</v>
      </c>
      <c r="B18" s="2" t="s">
        <v>70</v>
      </c>
      <c r="C18" s="3" t="s">
        <v>71</v>
      </c>
      <c r="D18" s="2" t="n">
        <v>1</v>
      </c>
      <c r="E18" s="2" t="s">
        <v>30</v>
      </c>
      <c r="F18" s="5" t="n">
        <v>3000</v>
      </c>
      <c r="G18" s="5" t="n">
        <f aca="false">D18*F18</f>
        <v>3000</v>
      </c>
      <c r="H18" s="6" t="s">
        <v>26</v>
      </c>
      <c r="I18" s="3" t="s">
        <v>72</v>
      </c>
    </row>
    <row r="20" customFormat="false" ht="15" hidden="false" customHeight="false" outlineLevel="0" collapsed="false">
      <c r="A20" s="7" t="s">
        <v>73</v>
      </c>
      <c r="B20" s="8"/>
      <c r="C20" s="8"/>
      <c r="D20" s="8"/>
      <c r="E20" s="8"/>
      <c r="F20" s="8"/>
      <c r="G20" s="9" t="n">
        <f aca="false">SUM(G2:G18)</f>
        <v>598037</v>
      </c>
      <c r="H20" s="8"/>
      <c r="I20" s="8"/>
    </row>
    <row r="22" customFormat="false" ht="15" hidden="false" customHeight="false" outlineLevel="0" collapsed="false">
      <c r="A22" s="10" t="s">
        <v>74</v>
      </c>
    </row>
    <row r="23" customFormat="false" ht="27.75" hidden="false" customHeight="true" outlineLevel="0" collapsed="false">
      <c r="A23" s="11" t="s">
        <v>75</v>
      </c>
      <c r="B23" s="11"/>
      <c r="C23" s="11"/>
      <c r="D23" s="11"/>
      <c r="E23" s="11"/>
      <c r="F23" s="11"/>
      <c r="G23" s="11"/>
      <c r="H23" s="11"/>
      <c r="I23" s="11"/>
    </row>
    <row r="24" customFormat="false" ht="27.75" hidden="false" customHeight="true" outlineLevel="0" collapsed="false">
      <c r="A24" s="11" t="s">
        <v>76</v>
      </c>
      <c r="B24" s="11"/>
      <c r="C24" s="11"/>
      <c r="D24" s="11"/>
      <c r="E24" s="11"/>
      <c r="F24" s="11"/>
      <c r="G24" s="11"/>
      <c r="H24" s="11"/>
      <c r="I24" s="11"/>
    </row>
    <row r="25" customFormat="false" ht="27.75" hidden="false" customHeight="true" outlineLevel="0" collapsed="false">
      <c r="A25" s="11" t="s">
        <v>77</v>
      </c>
      <c r="B25" s="11"/>
      <c r="C25" s="11"/>
      <c r="D25" s="11"/>
      <c r="E25" s="11"/>
      <c r="F25" s="11"/>
      <c r="G25" s="11"/>
      <c r="H25" s="11"/>
      <c r="I25" s="11"/>
    </row>
    <row r="26" customFormat="false" ht="27.75" hidden="false" customHeight="true" outlineLevel="0" collapsed="false">
      <c r="A26" s="11" t="s">
        <v>78</v>
      </c>
      <c r="B26" s="11"/>
      <c r="C26" s="11"/>
      <c r="D26" s="11"/>
      <c r="E26" s="11"/>
      <c r="F26" s="11"/>
      <c r="G26" s="11"/>
      <c r="H26" s="11"/>
      <c r="I26" s="11"/>
    </row>
    <row r="27" customFormat="false" ht="27.75" hidden="false" customHeight="true" outlineLevel="0" collapsed="false">
      <c r="A27" s="11" t="s">
        <v>79</v>
      </c>
      <c r="B27" s="11"/>
      <c r="C27" s="11"/>
      <c r="D27" s="11"/>
      <c r="E27" s="11"/>
      <c r="F27" s="11"/>
      <c r="G27" s="11"/>
      <c r="H27" s="11"/>
      <c r="I27" s="11"/>
    </row>
    <row r="28" customFormat="false" ht="27.75" hidden="false" customHeight="true" outlineLevel="0" collapsed="false">
      <c r="A28" s="11" t="s">
        <v>80</v>
      </c>
      <c r="B28" s="11"/>
      <c r="C28" s="11"/>
      <c r="D28" s="11"/>
      <c r="E28" s="11"/>
      <c r="F28" s="11"/>
      <c r="G28" s="11"/>
      <c r="H28" s="11"/>
      <c r="I28" s="11"/>
    </row>
    <row r="29" customFormat="false" ht="27.75" hidden="false" customHeight="true" outlineLevel="0" collapsed="false">
      <c r="A29" s="11" t="s">
        <v>81</v>
      </c>
      <c r="B29" s="11"/>
      <c r="C29" s="11"/>
      <c r="D29" s="11"/>
      <c r="E29" s="11"/>
      <c r="F29" s="11"/>
      <c r="G29" s="11"/>
      <c r="H29" s="11"/>
      <c r="I29" s="11"/>
    </row>
  </sheetData>
  <mergeCells count="7">
    <mergeCell ref="A23:I23"/>
    <mergeCell ref="A24:I24"/>
    <mergeCell ref="A25:I25"/>
    <mergeCell ref="A26:I26"/>
    <mergeCell ref="A27:I27"/>
    <mergeCell ref="A28:I28"/>
    <mergeCell ref="A29:I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2026-10-10T17:54:26Z</dcterms:created>
  <dc:creator>openpyxl</dc:creator>
  <dc:description/>
  <dc:language>en-US</dc:language>
  <cp:lastModifiedBy/>
  <dcterms:modified xsi:type="dcterms:W3CDTF">2026-10-10T17:54:26Z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